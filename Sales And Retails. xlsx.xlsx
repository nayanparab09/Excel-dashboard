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an\Desktop\"/>
    </mc:Choice>
  </mc:AlternateContent>
  <xr:revisionPtr revIDLastSave="0" documentId="8_{79A64B5A-485D-45C6-9F27-43C6BC9A6C3A}" xr6:coauthVersionLast="47" xr6:coauthVersionMax="47" xr10:uidLastSave="{00000000-0000-0000-0000-000000000000}"/>
  <bookViews>
    <workbookView xWindow="-108" yWindow="-108" windowWidth="23256" windowHeight="12456" xr2:uid="{2A65738D-9D14-429E-8C9A-9F8A4AA83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M15" i="1"/>
  <c r="N15" i="1"/>
  <c r="O15" i="1"/>
  <c r="P15" i="1"/>
  <c r="Q15" i="1"/>
  <c r="R15" i="1"/>
  <c r="T15" i="1"/>
  <c r="E15" i="1"/>
  <c r="F15" i="1"/>
  <c r="T3" i="1"/>
  <c r="T4" i="1"/>
  <c r="T5" i="1"/>
  <c r="T6" i="1"/>
  <c r="T7" i="1"/>
  <c r="T8" i="1"/>
  <c r="T9" i="1"/>
  <c r="T10" i="1"/>
  <c r="T11" i="1"/>
  <c r="T12" i="1"/>
  <c r="T13" i="1"/>
  <c r="T2" i="1"/>
  <c r="S3" i="1"/>
  <c r="S4" i="1"/>
  <c r="S5" i="1"/>
  <c r="S6" i="1"/>
  <c r="S7" i="1"/>
  <c r="S8" i="1"/>
  <c r="S9" i="1"/>
  <c r="S10" i="1"/>
  <c r="S11" i="1"/>
  <c r="S12" i="1"/>
  <c r="S13" i="1"/>
  <c r="S2" i="1"/>
  <c r="R3" i="1"/>
  <c r="R4" i="1"/>
  <c r="R5" i="1"/>
  <c r="R6" i="1"/>
  <c r="R7" i="1"/>
  <c r="R8" i="1"/>
  <c r="R9" i="1"/>
  <c r="R10" i="1"/>
  <c r="R11" i="1"/>
  <c r="R12" i="1"/>
  <c r="R13" i="1"/>
  <c r="R2" i="1"/>
  <c r="P4" i="1"/>
  <c r="P5" i="1"/>
  <c r="P6" i="1"/>
  <c r="P7" i="1"/>
  <c r="P8" i="1"/>
  <c r="P9" i="1"/>
  <c r="P10" i="1"/>
  <c r="P11" i="1"/>
  <c r="P12" i="1"/>
  <c r="P13" i="1"/>
  <c r="P3" i="1"/>
  <c r="P2" i="1"/>
  <c r="O4" i="1"/>
  <c r="O5" i="1"/>
  <c r="O6" i="1"/>
  <c r="O7" i="1"/>
  <c r="O8" i="1"/>
  <c r="O9" i="1"/>
  <c r="O10" i="1"/>
  <c r="O11" i="1"/>
  <c r="O12" i="1"/>
  <c r="O13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M3" i="1"/>
  <c r="M4" i="1"/>
  <c r="M5" i="1"/>
  <c r="M6" i="1"/>
  <c r="M7" i="1"/>
  <c r="M8" i="1"/>
  <c r="M9" i="1"/>
  <c r="M10" i="1"/>
  <c r="M11" i="1"/>
  <c r="M12" i="1"/>
  <c r="M13" i="1"/>
  <c r="M2" i="1"/>
</calcChain>
</file>

<file path=xl/sharedStrings.xml><?xml version="1.0" encoding="utf-8"?>
<sst xmlns="http://schemas.openxmlformats.org/spreadsheetml/2006/main" count="105" uniqueCount="75">
  <si>
    <t>Region</t>
  </si>
  <si>
    <t>Product</t>
  </si>
  <si>
    <t>Saler Name</t>
  </si>
  <si>
    <t>Store Location</t>
  </si>
  <si>
    <t>Customer Type</t>
  </si>
  <si>
    <t>Payment Method</t>
  </si>
  <si>
    <t>Unit Price</t>
  </si>
  <si>
    <t>CGST (12%)</t>
  </si>
  <si>
    <t>SGST (8%)</t>
  </si>
  <si>
    <t>Selling price</t>
  </si>
  <si>
    <t>Quantity Ordered</t>
  </si>
  <si>
    <t>Quantity  sale</t>
  </si>
  <si>
    <t>Quantity Left</t>
  </si>
  <si>
    <t>Total sales</t>
  </si>
  <si>
    <t>Total amount</t>
  </si>
  <si>
    <t>Total Amount after GST</t>
  </si>
  <si>
    <t>Total profit</t>
  </si>
  <si>
    <t>Serial Number</t>
  </si>
  <si>
    <t>Date Of Purchase</t>
  </si>
  <si>
    <t>Northern India</t>
  </si>
  <si>
    <t>North-Western India</t>
  </si>
  <si>
    <t>Western India</t>
  </si>
  <si>
    <t>Central India</t>
  </si>
  <si>
    <t>Eastern India</t>
  </si>
  <si>
    <t>North-Eastern India</t>
  </si>
  <si>
    <t>Southern India</t>
  </si>
  <si>
    <t>Himalayan Region</t>
  </si>
  <si>
    <t>Indo-Gangetic Plain</t>
  </si>
  <si>
    <t>Thar Desert Region</t>
  </si>
  <si>
    <t>Coastal Region</t>
  </si>
  <si>
    <t>Island Region</t>
  </si>
  <si>
    <t>Laptop</t>
  </si>
  <si>
    <t>Desk</t>
  </si>
  <si>
    <t>Monitor</t>
  </si>
  <si>
    <t>Chair</t>
  </si>
  <si>
    <t>Mouse</t>
  </si>
  <si>
    <t>Keyboards</t>
  </si>
  <si>
    <t>SSD</t>
  </si>
  <si>
    <t>Mouse Pad</t>
  </si>
  <si>
    <t>CPU</t>
  </si>
  <si>
    <t>Mother boards</t>
  </si>
  <si>
    <t>Processors</t>
  </si>
  <si>
    <t>Webcams</t>
  </si>
  <si>
    <t>Nayan Parab</t>
  </si>
  <si>
    <t>Aryan Bhowad</t>
  </si>
  <si>
    <t>Ayush Pimpale</t>
  </si>
  <si>
    <t>Prem vayle</t>
  </si>
  <si>
    <t>Aditya Bhagane</t>
  </si>
  <si>
    <t>Shramik Salve</t>
  </si>
  <si>
    <t>Rasik Joshi</t>
  </si>
  <si>
    <t>Yuvraj Nachan</t>
  </si>
  <si>
    <t>Nikhil Gaikwad</t>
  </si>
  <si>
    <t>Sudesh Mali</t>
  </si>
  <si>
    <t>George fernandes</t>
  </si>
  <si>
    <t>De Costa</t>
  </si>
  <si>
    <t>Assam</t>
  </si>
  <si>
    <t>Uttarakhand</t>
  </si>
  <si>
    <t>Rajasthan</t>
  </si>
  <si>
    <t>Maharashtra</t>
  </si>
  <si>
    <t>Madhya Pradesh</t>
  </si>
  <si>
    <t>West Bengal</t>
  </si>
  <si>
    <t>Tamil Nadu</t>
  </si>
  <si>
    <t>Ladakh</t>
  </si>
  <si>
    <t>Uttar Pradesh</t>
  </si>
  <si>
    <t>Kerala</t>
  </si>
  <si>
    <t>Andaman and nicobar</t>
  </si>
  <si>
    <t>Wholsaler</t>
  </si>
  <si>
    <t>Retail</t>
  </si>
  <si>
    <t>Wholesaler</t>
  </si>
  <si>
    <t>Customer name</t>
  </si>
  <si>
    <t>Tech Ideas</t>
  </si>
  <si>
    <t>SS Automobiles</t>
  </si>
  <si>
    <t>Online</t>
  </si>
  <si>
    <t>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</si>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</sst>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D764-0793-4D4A-8CE9-2E13EE03AE95}">
  <dimension ref="A1:T15"/>
  <sheetViews>
    <sheetView tabSelected="1" workbookViewId="0">
      <selection activeCell="T15" sqref="T15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3" width="17.44140625" bestFit="1" customWidth="1"/>
    <col min="4" max="4" width="14.77734375" style="8" bestFit="1" customWidth="1"/>
    <col min="5" max="5" width="14.77734375" customWidth="1"/>
    <col min="6" max="6" width="11.6640625" bestFit="1" customWidth="1"/>
    <col min="7" max="7" width="15.44140625" bestFit="1" customWidth="1"/>
    <col min="8" max="8" width="18.6640625" bestFit="1" customWidth="1"/>
    <col min="9" max="9" width="14.44140625" bestFit="1" customWidth="1"/>
    <col min="10" max="10" width="14.44140625" customWidth="1"/>
    <col min="11" max="11" width="14.44140625" bestFit="1" customWidth="1"/>
    <col min="12" max="13" width="11.33203125" bestFit="1" customWidth="1"/>
    <col min="14" max="14" width="10.44140625" bestFit="1" customWidth="1"/>
    <col min="15" max="15" width="9.5546875" customWidth="1"/>
    <col min="16" max="16" width="19.33203125" bestFit="1" customWidth="1"/>
    <col min="17" max="18" width="11" bestFit="1" customWidth="1"/>
  </cols>
  <sheetData>
    <row r="1" spans="1:20" x14ac:dyDescent="0.3">
      <c r="A1" s="5" t="s">
        <v>17</v>
      </c>
      <c r="B1" s="5" t="s">
        <v>18</v>
      </c>
      <c r="C1" s="5" t="s">
        <v>0</v>
      </c>
      <c r="D1" s="6" t="s">
        <v>1</v>
      </c>
      <c r="E1" s="6" t="s">
        <v>10</v>
      </c>
      <c r="F1" s="6" t="s">
        <v>11</v>
      </c>
      <c r="G1" s="5" t="s">
        <v>2</v>
      </c>
      <c r="H1" s="5" t="s">
        <v>3</v>
      </c>
      <c r="I1" s="5" t="s">
        <v>4</v>
      </c>
      <c r="J1" s="5" t="s">
        <v>69</v>
      </c>
      <c r="K1" s="5" t="s">
        <v>5</v>
      </c>
      <c r="L1" s="6" t="s">
        <v>6</v>
      </c>
      <c r="M1" s="6" t="s">
        <v>14</v>
      </c>
      <c r="N1" s="6" t="s">
        <v>7</v>
      </c>
      <c r="O1" s="6" t="s">
        <v>8</v>
      </c>
      <c r="P1" s="6" t="s">
        <v>15</v>
      </c>
      <c r="Q1" s="6" t="s">
        <v>9</v>
      </c>
      <c r="R1" s="6" t="s">
        <v>12</v>
      </c>
      <c r="S1" s="7" t="s">
        <v>13</v>
      </c>
      <c r="T1" s="7" t="s">
        <v>16</v>
      </c>
    </row>
    <row r="2" spans="1:20" x14ac:dyDescent="0.3">
      <c r="A2" s="2">
        <v>1</v>
      </c>
      <c r="B2" s="3">
        <v>46166</v>
      </c>
      <c r="C2" s="2" t="s">
        <v>19</v>
      </c>
      <c r="D2" s="2" t="s">
        <v>31</v>
      </c>
      <c r="E2" s="2">
        <v>50</v>
      </c>
      <c r="F2" s="2">
        <v>30</v>
      </c>
      <c r="G2" s="2" t="s">
        <v>43</v>
      </c>
      <c r="H2" s="2" t="s">
        <v>56</v>
      </c>
      <c r="I2" s="2" t="s">
        <v>66</v>
      </c>
      <c r="J2" s="2" t="s">
        <v>70</v>
      </c>
      <c r="K2" s="2" t="s">
        <v>72</v>
      </c>
      <c r="L2" s="4">
        <v>40000</v>
      </c>
      <c r="M2" s="2">
        <f>L2*E2</f>
        <v>2000000</v>
      </c>
      <c r="N2" s="2">
        <f>M2*12%</f>
        <v>240000</v>
      </c>
      <c r="O2" s="2">
        <f>M2*8%</f>
        <v>160000</v>
      </c>
      <c r="P2" s="2">
        <f>SUM(M2:O2)</f>
        <v>2400000</v>
      </c>
      <c r="Q2" s="4">
        <v>42000</v>
      </c>
      <c r="R2" s="2">
        <f>E2-F2</f>
        <v>20</v>
      </c>
      <c r="S2" s="2">
        <f>Q2*F2</f>
        <v>1260000</v>
      </c>
      <c r="T2" s="4">
        <f>Q2-L2</f>
        <v>2000</v>
      </c>
    </row>
    <row r="3" spans="1:20" x14ac:dyDescent="0.3">
      <c r="A3" s="2">
        <v>2</v>
      </c>
      <c r="B3" s="3">
        <v>46167</v>
      </c>
      <c r="C3" s="2" t="s">
        <v>20</v>
      </c>
      <c r="D3" s="2" t="s">
        <v>32</v>
      </c>
      <c r="E3" s="2">
        <v>27</v>
      </c>
      <c r="F3" s="2">
        <v>20</v>
      </c>
      <c r="G3" s="2" t="s">
        <v>44</v>
      </c>
      <c r="H3" s="2" t="s">
        <v>57</v>
      </c>
      <c r="I3" s="2" t="s">
        <v>66</v>
      </c>
      <c r="J3" s="2" t="s">
        <v>70</v>
      </c>
      <c r="K3" s="2" t="s">
        <v>72</v>
      </c>
      <c r="L3" s="2">
        <v>3000</v>
      </c>
      <c r="M3" s="2">
        <f t="shared" ref="M3:M13" si="0">L3*E3</f>
        <v>81000</v>
      </c>
      <c r="N3" s="2">
        <f t="shared" ref="N3:N13" si="1">M3*12%</f>
        <v>9720</v>
      </c>
      <c r="O3" s="2">
        <f>M3*8%</f>
        <v>6480</v>
      </c>
      <c r="P3" s="2">
        <f>SUM(M3:O3)</f>
        <v>97200</v>
      </c>
      <c r="Q3" s="2">
        <v>3500</v>
      </c>
      <c r="R3" s="2">
        <f t="shared" ref="R3:R13" si="2">E3-F3</f>
        <v>7</v>
      </c>
      <c r="S3" s="2">
        <f t="shared" ref="S3:S13" si="3">Q3*F3</f>
        <v>70000</v>
      </c>
      <c r="T3" s="4">
        <f t="shared" ref="T3:T13" si="4">Q3-L3</f>
        <v>500</v>
      </c>
    </row>
    <row r="4" spans="1:20" x14ac:dyDescent="0.3">
      <c r="A4" s="2">
        <v>3</v>
      </c>
      <c r="B4" s="3">
        <v>46168</v>
      </c>
      <c r="C4" s="2" t="s">
        <v>21</v>
      </c>
      <c r="D4" s="2" t="s">
        <v>33</v>
      </c>
      <c r="E4" s="2">
        <v>29</v>
      </c>
      <c r="F4" s="2">
        <v>23</v>
      </c>
      <c r="G4" s="2" t="s">
        <v>45</v>
      </c>
      <c r="H4" s="2" t="s">
        <v>58</v>
      </c>
      <c r="I4" s="2" t="s">
        <v>66</v>
      </c>
      <c r="J4" s="2" t="s">
        <v>70</v>
      </c>
      <c r="K4" s="2" t="s">
        <v>72</v>
      </c>
      <c r="L4" s="2">
        <v>4000</v>
      </c>
      <c r="M4" s="2">
        <f t="shared" si="0"/>
        <v>116000</v>
      </c>
      <c r="N4" s="2">
        <f t="shared" si="1"/>
        <v>13920</v>
      </c>
      <c r="O4" s="2">
        <f t="shared" ref="O4:O13" si="5">M4*8%</f>
        <v>9280</v>
      </c>
      <c r="P4" s="2">
        <f t="shared" ref="P4:P13" si="6">SUM(M4:O4)</f>
        <v>139200</v>
      </c>
      <c r="Q4" s="2">
        <v>4700</v>
      </c>
      <c r="R4" s="2">
        <f t="shared" si="2"/>
        <v>6</v>
      </c>
      <c r="S4" s="2">
        <f t="shared" si="3"/>
        <v>108100</v>
      </c>
      <c r="T4" s="4">
        <f t="shared" si="4"/>
        <v>700</v>
      </c>
    </row>
    <row r="5" spans="1:20" x14ac:dyDescent="0.3">
      <c r="A5" s="2">
        <v>4</v>
      </c>
      <c r="B5" s="3">
        <v>46169</v>
      </c>
      <c r="C5" s="2" t="s">
        <v>22</v>
      </c>
      <c r="D5" s="2" t="s">
        <v>34</v>
      </c>
      <c r="E5" s="2">
        <v>30</v>
      </c>
      <c r="F5" s="2">
        <v>22</v>
      </c>
      <c r="G5" s="2" t="s">
        <v>46</v>
      </c>
      <c r="H5" s="2" t="s">
        <v>59</v>
      </c>
      <c r="I5" s="2" t="s">
        <v>66</v>
      </c>
      <c r="J5" s="2" t="s">
        <v>70</v>
      </c>
      <c r="K5" s="2" t="s">
        <v>72</v>
      </c>
      <c r="L5" s="2">
        <v>2500</v>
      </c>
      <c r="M5" s="2">
        <f t="shared" si="0"/>
        <v>75000</v>
      </c>
      <c r="N5" s="2">
        <f t="shared" si="1"/>
        <v>9000</v>
      </c>
      <c r="O5" s="2">
        <f t="shared" si="5"/>
        <v>6000</v>
      </c>
      <c r="P5" s="2">
        <f t="shared" si="6"/>
        <v>90000</v>
      </c>
      <c r="Q5" s="2">
        <v>3000</v>
      </c>
      <c r="R5" s="2">
        <f t="shared" si="2"/>
        <v>8</v>
      </c>
      <c r="S5" s="2">
        <f t="shared" si="3"/>
        <v>66000</v>
      </c>
      <c r="T5" s="4">
        <f t="shared" si="4"/>
        <v>500</v>
      </c>
    </row>
    <row r="6" spans="1:20" x14ac:dyDescent="0.3">
      <c r="A6" s="2">
        <v>5</v>
      </c>
      <c r="B6" s="3">
        <v>46170</v>
      </c>
      <c r="C6" s="2" t="s">
        <v>23</v>
      </c>
      <c r="D6" s="2" t="s">
        <v>35</v>
      </c>
      <c r="E6" s="2">
        <v>37</v>
      </c>
      <c r="F6" s="2">
        <v>30</v>
      </c>
      <c r="G6" s="2" t="s">
        <v>47</v>
      </c>
      <c r="H6" s="2" t="s">
        <v>60</v>
      </c>
      <c r="I6" s="2" t="s">
        <v>66</v>
      </c>
      <c r="J6" s="2" t="s">
        <v>70</v>
      </c>
      <c r="K6" s="2" t="s">
        <v>72</v>
      </c>
      <c r="L6" s="2">
        <v>800</v>
      </c>
      <c r="M6" s="2">
        <f t="shared" si="0"/>
        <v>29600</v>
      </c>
      <c r="N6" s="2">
        <f t="shared" si="1"/>
        <v>3552</v>
      </c>
      <c r="O6" s="2">
        <f t="shared" si="5"/>
        <v>2368</v>
      </c>
      <c r="P6" s="2">
        <f t="shared" si="6"/>
        <v>35520</v>
      </c>
      <c r="Q6" s="2">
        <v>870</v>
      </c>
      <c r="R6" s="2">
        <f t="shared" si="2"/>
        <v>7</v>
      </c>
      <c r="S6" s="2">
        <f t="shared" si="3"/>
        <v>26100</v>
      </c>
      <c r="T6" s="4">
        <f t="shared" si="4"/>
        <v>70</v>
      </c>
    </row>
    <row r="7" spans="1:20" x14ac:dyDescent="0.3">
      <c r="A7" s="2">
        <v>6</v>
      </c>
      <c r="B7" s="3">
        <v>46171</v>
      </c>
      <c r="C7" s="2" t="s">
        <v>24</v>
      </c>
      <c r="D7" s="2" t="s">
        <v>36</v>
      </c>
      <c r="E7" s="2">
        <v>66</v>
      </c>
      <c r="F7" s="2">
        <v>55</v>
      </c>
      <c r="G7" s="2" t="s">
        <v>48</v>
      </c>
      <c r="H7" s="2" t="s">
        <v>55</v>
      </c>
      <c r="I7" s="2" t="s">
        <v>66</v>
      </c>
      <c r="J7" s="2" t="s">
        <v>70</v>
      </c>
      <c r="K7" s="2" t="s">
        <v>72</v>
      </c>
      <c r="L7" s="2">
        <v>1000</v>
      </c>
      <c r="M7" s="2">
        <f t="shared" si="0"/>
        <v>66000</v>
      </c>
      <c r="N7" s="2">
        <f t="shared" si="1"/>
        <v>7920</v>
      </c>
      <c r="O7" s="2">
        <f t="shared" si="5"/>
        <v>5280</v>
      </c>
      <c r="P7" s="2">
        <f t="shared" si="6"/>
        <v>79200</v>
      </c>
      <c r="Q7" s="2">
        <v>1900</v>
      </c>
      <c r="R7" s="2">
        <f t="shared" si="2"/>
        <v>11</v>
      </c>
      <c r="S7" s="2">
        <f t="shared" si="3"/>
        <v>104500</v>
      </c>
      <c r="T7" s="4">
        <f t="shared" si="4"/>
        <v>900</v>
      </c>
    </row>
    <row r="8" spans="1:20" x14ac:dyDescent="0.3">
      <c r="A8" s="2">
        <v>7</v>
      </c>
      <c r="B8" s="3">
        <v>46172</v>
      </c>
      <c r="C8" s="2" t="s">
        <v>25</v>
      </c>
      <c r="D8" s="2" t="s">
        <v>37</v>
      </c>
      <c r="E8" s="2">
        <v>28</v>
      </c>
      <c r="F8" s="2">
        <v>25</v>
      </c>
      <c r="G8" s="2" t="s">
        <v>49</v>
      </c>
      <c r="H8" s="2" t="s">
        <v>61</v>
      </c>
      <c r="I8" s="2" t="s">
        <v>67</v>
      </c>
      <c r="J8" s="2" t="s">
        <v>71</v>
      </c>
      <c r="K8" s="2" t="s">
        <v>73</v>
      </c>
      <c r="L8" s="2">
        <v>6300</v>
      </c>
      <c r="M8" s="2">
        <f t="shared" si="0"/>
        <v>176400</v>
      </c>
      <c r="N8" s="2">
        <f t="shared" si="1"/>
        <v>21168</v>
      </c>
      <c r="O8" s="2">
        <f t="shared" si="5"/>
        <v>14112</v>
      </c>
      <c r="P8" s="2">
        <f t="shared" si="6"/>
        <v>211680</v>
      </c>
      <c r="Q8" s="2">
        <v>6600</v>
      </c>
      <c r="R8" s="2">
        <f t="shared" si="2"/>
        <v>3</v>
      </c>
      <c r="S8" s="2">
        <f t="shared" si="3"/>
        <v>165000</v>
      </c>
      <c r="T8" s="4">
        <f t="shared" si="4"/>
        <v>300</v>
      </c>
    </row>
    <row r="9" spans="1:20" x14ac:dyDescent="0.3">
      <c r="A9" s="2">
        <v>8</v>
      </c>
      <c r="B9" s="3">
        <v>46173</v>
      </c>
      <c r="C9" s="2" t="s">
        <v>26</v>
      </c>
      <c r="D9" s="2" t="s">
        <v>38</v>
      </c>
      <c r="E9" s="2">
        <v>58</v>
      </c>
      <c r="F9" s="2">
        <v>33</v>
      </c>
      <c r="G9" s="2" t="s">
        <v>50</v>
      </c>
      <c r="H9" s="2" t="s">
        <v>62</v>
      </c>
      <c r="I9" s="2" t="s">
        <v>67</v>
      </c>
      <c r="J9" s="2" t="s">
        <v>71</v>
      </c>
      <c r="K9" s="2" t="s">
        <v>73</v>
      </c>
      <c r="L9" s="2">
        <v>680</v>
      </c>
      <c r="M9" s="2">
        <f t="shared" si="0"/>
        <v>39440</v>
      </c>
      <c r="N9" s="2">
        <f t="shared" si="1"/>
        <v>4732.8</v>
      </c>
      <c r="O9" s="2">
        <f t="shared" si="5"/>
        <v>3155.2000000000003</v>
      </c>
      <c r="P9" s="2">
        <f t="shared" si="6"/>
        <v>47328</v>
      </c>
      <c r="Q9" s="2">
        <v>720</v>
      </c>
      <c r="R9" s="2">
        <f t="shared" si="2"/>
        <v>25</v>
      </c>
      <c r="S9" s="2">
        <f t="shared" si="3"/>
        <v>23760</v>
      </c>
      <c r="T9" s="4">
        <f t="shared" si="4"/>
        <v>40</v>
      </c>
    </row>
    <row r="10" spans="1:20" x14ac:dyDescent="0.3">
      <c r="A10" s="2">
        <v>9</v>
      </c>
      <c r="B10" s="3">
        <v>46174</v>
      </c>
      <c r="C10" s="2" t="s">
        <v>27</v>
      </c>
      <c r="D10" s="2" t="s">
        <v>39</v>
      </c>
      <c r="E10" s="2">
        <v>32</v>
      </c>
      <c r="F10" s="2">
        <v>24</v>
      </c>
      <c r="G10" s="2" t="s">
        <v>51</v>
      </c>
      <c r="H10" s="2" t="s">
        <v>63</v>
      </c>
      <c r="I10" s="2" t="s">
        <v>67</v>
      </c>
      <c r="J10" s="2" t="s">
        <v>71</v>
      </c>
      <c r="K10" s="2" t="s">
        <v>73</v>
      </c>
      <c r="L10" s="4">
        <v>10000</v>
      </c>
      <c r="M10" s="2">
        <f t="shared" si="0"/>
        <v>320000</v>
      </c>
      <c r="N10" s="2">
        <f t="shared" si="1"/>
        <v>38400</v>
      </c>
      <c r="O10" s="2">
        <f t="shared" si="5"/>
        <v>25600</v>
      </c>
      <c r="P10" s="2">
        <f t="shared" si="6"/>
        <v>384000</v>
      </c>
      <c r="Q10" s="4">
        <v>10700</v>
      </c>
      <c r="R10" s="2">
        <f t="shared" si="2"/>
        <v>8</v>
      </c>
      <c r="S10" s="2">
        <f t="shared" si="3"/>
        <v>256800</v>
      </c>
      <c r="T10" s="4">
        <f t="shared" si="4"/>
        <v>700</v>
      </c>
    </row>
    <row r="11" spans="1:20" x14ac:dyDescent="0.3">
      <c r="A11" s="2">
        <v>10</v>
      </c>
      <c r="B11" s="3">
        <v>46175</v>
      </c>
      <c r="C11" s="2" t="s">
        <v>28</v>
      </c>
      <c r="D11" s="2" t="s">
        <v>40</v>
      </c>
      <c r="E11" s="2">
        <v>35</v>
      </c>
      <c r="F11" s="2">
        <v>29</v>
      </c>
      <c r="G11" s="2" t="s">
        <v>52</v>
      </c>
      <c r="H11" s="2" t="s">
        <v>57</v>
      </c>
      <c r="I11" s="2" t="s">
        <v>68</v>
      </c>
      <c r="J11" s="2" t="s">
        <v>70</v>
      </c>
      <c r="K11" s="2" t="s">
        <v>72</v>
      </c>
      <c r="L11" s="4">
        <v>25000</v>
      </c>
      <c r="M11" s="2">
        <f t="shared" si="0"/>
        <v>875000</v>
      </c>
      <c r="N11" s="2">
        <f t="shared" si="1"/>
        <v>105000</v>
      </c>
      <c r="O11" s="2">
        <f t="shared" si="5"/>
        <v>70000</v>
      </c>
      <c r="P11" s="2">
        <f t="shared" si="6"/>
        <v>1050000</v>
      </c>
      <c r="Q11" s="4">
        <v>25555</v>
      </c>
      <c r="R11" s="2">
        <f t="shared" si="2"/>
        <v>6</v>
      </c>
      <c r="S11" s="2">
        <f t="shared" si="3"/>
        <v>741095</v>
      </c>
      <c r="T11" s="4">
        <f t="shared" si="4"/>
        <v>555</v>
      </c>
    </row>
    <row r="12" spans="1:20" x14ac:dyDescent="0.3">
      <c r="A12" s="2">
        <v>11</v>
      </c>
      <c r="B12" s="3">
        <v>46176</v>
      </c>
      <c r="C12" s="2" t="s">
        <v>29</v>
      </c>
      <c r="D12" s="2" t="s">
        <v>41</v>
      </c>
      <c r="E12" s="2">
        <v>26</v>
      </c>
      <c r="F12" s="2">
        <v>12</v>
      </c>
      <c r="G12" s="2" t="s">
        <v>53</v>
      </c>
      <c r="H12" s="2" t="s">
        <v>64</v>
      </c>
      <c r="I12" s="2" t="s">
        <v>68</v>
      </c>
      <c r="J12" s="2" t="s">
        <v>70</v>
      </c>
      <c r="K12" s="2" t="s">
        <v>72</v>
      </c>
      <c r="L12" s="4">
        <v>45000</v>
      </c>
      <c r="M12" s="2">
        <f t="shared" si="0"/>
        <v>1170000</v>
      </c>
      <c r="N12" s="2">
        <f t="shared" si="1"/>
        <v>140400</v>
      </c>
      <c r="O12" s="2">
        <f t="shared" si="5"/>
        <v>93600</v>
      </c>
      <c r="P12" s="2">
        <f t="shared" si="6"/>
        <v>1404000</v>
      </c>
      <c r="Q12" s="4">
        <v>47777</v>
      </c>
      <c r="R12" s="2">
        <f t="shared" si="2"/>
        <v>14</v>
      </c>
      <c r="S12" s="2">
        <f t="shared" si="3"/>
        <v>573324</v>
      </c>
      <c r="T12" s="4">
        <f t="shared" si="4"/>
        <v>2777</v>
      </c>
    </row>
    <row r="13" spans="1:20" x14ac:dyDescent="0.3">
      <c r="A13" s="2">
        <v>12</v>
      </c>
      <c r="B13" s="3">
        <v>46177</v>
      </c>
      <c r="C13" s="2" t="s">
        <v>30</v>
      </c>
      <c r="D13" s="2" t="s">
        <v>42</v>
      </c>
      <c r="E13" s="2">
        <v>24</v>
      </c>
      <c r="F13" s="2">
        <v>11</v>
      </c>
      <c r="G13" s="2" t="s">
        <v>54</v>
      </c>
      <c r="H13" s="2" t="s">
        <v>65</v>
      </c>
      <c r="I13" s="2" t="s">
        <v>68</v>
      </c>
      <c r="J13" s="2" t="s">
        <v>70</v>
      </c>
      <c r="K13" s="2" t="s">
        <v>72</v>
      </c>
      <c r="L13" s="4">
        <v>2500</v>
      </c>
      <c r="M13" s="2">
        <f t="shared" si="0"/>
        <v>60000</v>
      </c>
      <c r="N13" s="2">
        <f t="shared" si="1"/>
        <v>7200</v>
      </c>
      <c r="O13" s="2">
        <f t="shared" si="5"/>
        <v>4800</v>
      </c>
      <c r="P13" s="2">
        <f t="shared" si="6"/>
        <v>72000</v>
      </c>
      <c r="Q13" s="4">
        <v>3333</v>
      </c>
      <c r="R13" s="2">
        <f t="shared" si="2"/>
        <v>13</v>
      </c>
      <c r="S13" s="2">
        <f t="shared" si="3"/>
        <v>36663</v>
      </c>
      <c r="T13" s="4">
        <f t="shared" si="4"/>
        <v>833</v>
      </c>
    </row>
    <row r="14" spans="1:20" x14ac:dyDescent="0.3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5" t="s">
        <v>74</v>
      </c>
      <c r="E15" s="9">
        <f>SUM(E2:E13)</f>
        <v>442</v>
      </c>
      <c r="F15" s="9">
        <f t="shared" ref="F15:T15" si="7">SUM(F2:F13)</f>
        <v>314</v>
      </c>
      <c r="G15" s="1"/>
      <c r="H15" s="1"/>
      <c r="I15" s="1"/>
      <c r="J15" s="1"/>
      <c r="K15" s="1"/>
      <c r="L15" s="10">
        <v>140780</v>
      </c>
      <c r="M15" s="9">
        <f>SUM(M2:M13)</f>
        <v>5008440</v>
      </c>
      <c r="N15" s="11">
        <f t="shared" ref="N15:T15" si="8">SUM(N2:N13)</f>
        <v>601012.80000000005</v>
      </c>
      <c r="O15" s="11">
        <f t="shared" si="8"/>
        <v>400675.2</v>
      </c>
      <c r="P15" s="9">
        <f t="shared" si="8"/>
        <v>6010128</v>
      </c>
      <c r="Q15" s="9">
        <f t="shared" si="8"/>
        <v>150655</v>
      </c>
      <c r="R15" s="9">
        <f t="shared" si="8"/>
        <v>128</v>
      </c>
      <c r="S15" s="12">
        <f>SUM(S2:S13)</f>
        <v>3431342</v>
      </c>
      <c r="T15" s="12">
        <f t="shared" si="8"/>
        <v>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Parab</dc:creator>
  <cp:lastModifiedBy>Nayan Parab</cp:lastModifiedBy>
  <dcterms:created xsi:type="dcterms:W3CDTF">2026-06-26T17:15:27Z</dcterms:created>
  <dcterms:modified xsi:type="dcterms:W3CDTF">2026-06-26T18:27:26Z</dcterms:modified>
</cp:coreProperties>
</file>